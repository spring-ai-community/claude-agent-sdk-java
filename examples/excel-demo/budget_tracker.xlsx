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come" sheetId="1" r:id="rId1"/>
    <sheet name="Expenses" sheetId="2" r:id="rId2"/>
    <sheet name="Summary" sheetId="3" r:id="rId3"/>
  </sheets>
</workbook>
</file>

<file path=xl/sharedStrings.xml><?xml version="1.0" encoding="utf-8"?>
<sst xmlns="http://schemas.openxmlformats.org/spreadsheetml/2006/main" count="42" uniqueCount="42">
  <si>
    <t>Date</t>
  </si>
  <si>
    <t>Source</t>
  </si>
  <si>
    <t>Amount</t>
  </si>
  <si>
    <t>Notes</t>
  </si>
  <si>
    <t>2024-01-01</t>
  </si>
  <si>
    <t>Salary</t>
  </si>
  <si>
    <t>Monthly salary</t>
  </si>
  <si>
    <t>2024-01-15</t>
  </si>
  <si>
    <t>Freelance</t>
  </si>
  <si>
    <t>Web design project</t>
  </si>
  <si>
    <t>2024-01-20</t>
  </si>
  <si>
    <t>Dividends</t>
  </si>
  <si>
    <t>Stock dividends</t>
  </si>
  <si>
    <t>TOTAL INCOME:</t>
  </si>
  <si>
    <t>Category</t>
  </si>
  <si>
    <t>Description</t>
  </si>
  <si>
    <t>2024-01-02</t>
  </si>
  <si>
    <t>Housing</t>
  </si>
  <si>
    <t>Rent</t>
  </si>
  <si>
    <t>2024-01-03</t>
  </si>
  <si>
    <t>Utilities</t>
  </si>
  <si>
    <t>Electric bill</t>
  </si>
  <si>
    <t>2024-01-05</t>
  </si>
  <si>
    <t>Food</t>
  </si>
  <si>
    <t>Groceries</t>
  </si>
  <si>
    <t>2024-01-08</t>
  </si>
  <si>
    <t>Transportation</t>
  </si>
  <si>
    <t>Gas</t>
  </si>
  <si>
    <t>2024-01-10</t>
  </si>
  <si>
    <t>Entertainment</t>
  </si>
  <si>
    <t>Streaming services</t>
  </si>
  <si>
    <t>2024-01-12</t>
  </si>
  <si>
    <t>Dining out</t>
  </si>
  <si>
    <t>Healthcare</t>
  </si>
  <si>
    <t>Prescription</t>
  </si>
  <si>
    <t>TOTAL EXPENSES:</t>
  </si>
  <si>
    <t>BUDGET SUMMARY</t>
  </si>
  <si>
    <t>Total Income:</t>
  </si>
  <si>
    <t>Total Expenses:</t>
  </si>
  <si>
    <t>NET BALANCE:</t>
  </si>
  <si>
    <t>Savings Rate:</t>
  </si>
  <si>
    <t>EXPENSE CATEGORIES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</si>
</sst>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C6EFCE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/>
    <xf numFmtId="0" fontId="1" fillId="2" borderId="1" applyFont="1" applyFill="1" applyBorder="1">
      <alignment horizontal="center"/>
    </xf>
    <xf numFmtId="0" fontId="0" fillId="0" borderId="1" applyBorder="1"/>
    <xf numFmtId="164" fontId="0" fillId="0" borderId="1" applyNumberFormat="1" applyBorder="1"/>
    <xf numFmtId="0" fontId="2" fillId="0" borderId="0" applyFont="1"/>
    <xf numFmtId="164" fontId="2" fillId="3" borderId="1" applyNumberFormat="1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  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5" customWidth="1"/>
    <col min="2" max="2" width="18" customWidth="1"/>
    <col min="3" max="3" width="20" customWidth="1"/>
    <col min="4" max="4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3500.0</v>
      </c>
      <c r="D2" s="2" t="s">
        <v>6</v>
      </c>
    </row>
    <row r="3">
      <c r="A3" s="2" t="s">
        <v>7</v>
      </c>
      <c r="B3" s="2" t="s">
        <v>8</v>
      </c>
      <c r="C3" s="3">
        <v>500.0</v>
      </c>
      <c r="D3" s="2" t="s">
        <v>9</v>
      </c>
    </row>
    <row r="4">
      <c r="A4" s="2" t="s">
        <v>10</v>
      </c>
      <c r="B4" s="2" t="s">
        <v>11</v>
      </c>
      <c r="C4" s="3">
        <v>150.0</v>
      </c>
      <c r="D4" s="2" t="s">
        <v>12</v>
      </c>
    </row>
    <row r="8">
      <c r="B8" s="4" t="s">
        <v>13</v>
      </c>
      <c r="C8" s="5">
        <f>SUM(C2:C7)</f>
      </c>
    </row>
  </sheetData>
</worksheet>
</file>

<file path=xl/worksheets/sheet2.xml><?xml version="1.0" encoding="utf-8"?>
<worksheet xmlns="http://schemas.openxmlformats.org/spreadsheetml/2006/main">
  <cols>
    <col min="1" max="1" width="15" customWidth="1"/>
    <col min="2" max="2" width="18" customWidth="1"/>
    <col min="3" max="3" width="20" customWidth="1"/>
    <col min="4" max="4" width="15" customWidth="1"/>
  </cols>
  <sheetData>
    <row r="1">
      <c r="A1" s="1" t="s">
        <v>0</v>
      </c>
      <c r="B1" s="1" t="s">
        <v>14</v>
      </c>
      <c r="C1" s="1" t="s">
        <v>15</v>
      </c>
      <c r="D1" s="1" t="s">
        <v>2</v>
      </c>
    </row>
    <row r="2">
      <c r="A2" s="2" t="s">
        <v>16</v>
      </c>
      <c r="B2" s="2" t="s">
        <v>17</v>
      </c>
      <c r="C2" s="2" t="s">
        <v>18</v>
      </c>
      <c r="D2" s="3">
        <v>1200.0</v>
      </c>
    </row>
    <row r="3">
      <c r="A3" s="2" t="s">
        <v>19</v>
      </c>
      <c r="B3" s="2" t="s">
        <v>20</v>
      </c>
      <c r="C3" s="2" t="s">
        <v>21</v>
      </c>
      <c r="D3" s="3">
        <v>85.0</v>
      </c>
    </row>
    <row r="4">
      <c r="A4" s="2" t="s">
        <v>22</v>
      </c>
      <c r="B4" s="2" t="s">
        <v>23</v>
      </c>
      <c r="C4" s="2" t="s">
        <v>24</v>
      </c>
      <c r="D4" s="3">
        <v>250.0</v>
      </c>
    </row>
    <row r="5">
      <c r="A5" s="2" t="s">
        <v>25</v>
      </c>
      <c r="B5" s="2" t="s">
        <v>26</v>
      </c>
      <c r="C5" s="2" t="s">
        <v>27</v>
      </c>
      <c r="D5" s="3">
        <v>60.0</v>
      </c>
    </row>
    <row r="6">
      <c r="A6" s="2" t="s">
        <v>28</v>
      </c>
      <c r="B6" s="2" t="s">
        <v>29</v>
      </c>
      <c r="C6" s="2" t="s">
        <v>30</v>
      </c>
      <c r="D6" s="3">
        <v>35.0</v>
      </c>
    </row>
    <row r="7">
      <c r="A7" s="2" t="s">
        <v>31</v>
      </c>
      <c r="B7" s="2" t="s">
        <v>23</v>
      </c>
      <c r="C7" s="2" t="s">
        <v>32</v>
      </c>
      <c r="D7" s="3">
        <v>75.0</v>
      </c>
    </row>
    <row r="8">
      <c r="A8" s="2" t="s">
        <v>7</v>
      </c>
      <c r="B8" s="2" t="s">
        <v>33</v>
      </c>
      <c r="C8" s="2" t="s">
        <v>34</v>
      </c>
      <c r="D8" s="3">
        <v>45.0</v>
      </c>
    </row>
    <row r="11">
      <c r="C11" s="4" t="s">
        <v>35</v>
      </c>
      <c r="D11" s="5">
        <f>SUM(D2:D11)</f>
      </c>
    </row>
  </sheetData>
</worksheet>
</file>

<file path=xl/worksheets/sheet3.xml><?xml version="1.0" encoding="utf-8"?>
<worksheet xmlns="http://schemas.openxmlformats.org/spreadsheetml/2006/main">
  <cols>
    <col min="1" max="1" width="15" customWidth="1"/>
    <col min="2" max="2" width="18" customWidth="1"/>
    <col min="3" max="3" width="20" customWidth="1"/>
    <col min="4" max="4" width="15" customWidth="1"/>
  </cols>
  <sheetData>
    <row r="1">
      <c r="A1" s="1" t="s">
        <v>36</v>
      </c>
    </row>
    <row r="3">
      <c r="A3" s="4" t="s">
        <v>37</v>
      </c>
      <c r="B3" s="3">
        <f>Income!C8</f>
      </c>
    </row>
    <row r="4">
      <c r="A4" s="4" t="s">
        <v>38</v>
      </c>
      <c r="B4" s="3">
        <f>Expenses!D11</f>
      </c>
    </row>
    <row r="6">
      <c r="A6" s="4" t="s">
        <v>39</v>
      </c>
      <c r="B6" s="5">
        <f>B3-B4</f>
      </c>
    </row>
    <row r="8">
      <c r="A8" s="4" t="s">
        <v>40</v>
      </c>
      <c r="B8" s="3">
        <f>IF(B3&gt;0,B6/B3,0)</f>
      </c>
    </row>
    <row r="10">
      <c r="A10" s="4" t="s">
        <v>41</v>
      </c>
    </row>
    <row r="11">
      <c r="A11" s="2" t="s">
        <v>17</v>
      </c>
      <c r="B11" s="3">
        <f>SUMIF(Expenses!B:B,A11,Expenses!D:D)</f>
      </c>
    </row>
    <row r="12">
      <c r="A12" s="2" t="s">
        <v>20</v>
      </c>
      <c r="B12" s="3">
        <f>SUMIF(Expenses!B:B,A12,Expenses!D:D)</f>
      </c>
    </row>
    <row r="13">
      <c r="A13" s="2" t="s">
        <v>23</v>
      </c>
      <c r="B13" s="3">
        <f>SUMIF(Expenses!B:B,A13,Expenses!D:D)</f>
      </c>
    </row>
    <row r="14">
      <c r="A14" s="2" t="s">
        <v>26</v>
      </c>
      <c r="B14" s="3">
        <f>SUMIF(Expenses!B:B,A14,Expenses!D:D)</f>
      </c>
    </row>
    <row r="15">
      <c r="A15" s="2" t="s">
        <v>29</v>
      </c>
      <c r="B15" s="3">
        <f>SUMIF(Expenses!B:B,A15,Expenses!D:D)</f>
      </c>
    </row>
    <row r="16">
      <c r="A16" s="2" t="s">
        <v>33</v>
      </c>
      <c r="B16" s="3">
        <f>SUMIF(Expenses!B:B,A16,Expenses!D:D)</f>
      </c>
    </row>
  </sheetData>
</worksheet>
</file>